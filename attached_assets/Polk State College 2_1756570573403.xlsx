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0cb976b282214/2 - LOCR/2 - GameScope/02 - Case Studies/Polk State College/"/>
    </mc:Choice>
  </mc:AlternateContent>
  <xr:revisionPtr revIDLastSave="39" documentId="8_{FF5E4955-18DA-485B-AA93-E418F173EE1C}" xr6:coauthVersionLast="47" xr6:coauthVersionMax="47" xr10:uidLastSave="{9EAA2754-4090-4958-8D4C-F7C9086FEDA7}"/>
  <bookViews>
    <workbookView xWindow="-120" yWindow="-120" windowWidth="29040" windowHeight="15720" activeTab="2" xr2:uid="{57C54CDB-FF25-4EC6-8BA7-0737FBE1F1A9}"/>
  </bookViews>
  <sheets>
    <sheet name="1st Half" sheetId="1" r:id="rId1"/>
    <sheet name="2nd Half" sheetId="2" r:id="rId2"/>
    <sheet name="Full Ga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G29" i="3" s="1"/>
  <c r="E28" i="3"/>
  <c r="G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F28" i="3" l="1"/>
  <c r="F29" i="3"/>
</calcChain>
</file>

<file path=xl/sharedStrings.xml><?xml version="1.0" encoding="utf-8"?>
<sst xmlns="http://schemas.openxmlformats.org/spreadsheetml/2006/main" count="218" uniqueCount="40">
  <si>
    <t>Dribbles</t>
  </si>
  <si>
    <t>Tackles</t>
  </si>
  <si>
    <t>Goals</t>
  </si>
  <si>
    <t>Take Ons</t>
  </si>
  <si>
    <t>Free Kicks</t>
  </si>
  <si>
    <t>Offsides</t>
  </si>
  <si>
    <t>Runs Into Boxes</t>
  </si>
  <si>
    <t>Corners</t>
  </si>
  <si>
    <t>Penetrating Dribbles</t>
  </si>
  <si>
    <t>Dangerous Crosses</t>
  </si>
  <si>
    <t>Group</t>
  </si>
  <si>
    <t>Event</t>
  </si>
  <si>
    <t>Key</t>
  </si>
  <si>
    <t>Total Team Distance (km)</t>
  </si>
  <si>
    <t>Possession (%)</t>
  </si>
  <si>
    <t>Attack</t>
  </si>
  <si>
    <t>Shots - Attempted</t>
  </si>
  <si>
    <t>Shots - On Target</t>
  </si>
  <si>
    <t>Possession</t>
  </si>
  <si>
    <t>First Touch - Success</t>
  </si>
  <si>
    <t>First Touch - Success Rate (%)</t>
  </si>
  <si>
    <t>Defence</t>
  </si>
  <si>
    <t>Passing</t>
  </si>
  <si>
    <t>Pass - Total Attempted</t>
  </si>
  <si>
    <t>Pass - Success</t>
  </si>
  <si>
    <t>Pass - Success Rate (%)</t>
  </si>
  <si>
    <t>Pass - Total Distance (m)</t>
  </si>
  <si>
    <t>Pass - Average Pass Distance (m)</t>
  </si>
  <si>
    <t>Pass - Average Pass Velocity (km/h)</t>
  </si>
  <si>
    <t>Passing - Right</t>
  </si>
  <si>
    <t>Right Foot Pass - Attempted</t>
  </si>
  <si>
    <t>-</t>
  </si>
  <si>
    <t>Right Foot Pass - Success</t>
  </si>
  <si>
    <t>Right Foot Pass - Success Rate (%)</t>
  </si>
  <si>
    <t>Passing - Left</t>
  </si>
  <si>
    <t>Left Foot Pass - Attempted</t>
  </si>
  <si>
    <t>Left Foot Pass - Success</t>
  </si>
  <si>
    <t>Left Foot Pass - Success Rate (%)</t>
  </si>
  <si>
    <t>POLK</t>
  </si>
  <si>
    <t>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</si>
</sst>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6FB7-42AA-4DB7-8AFB-1E52E17B5945}">
  <dimension ref="A1:D29"/>
  <sheetViews>
    <sheetView workbookViewId="0">
      <selection sqref="A1:B1"/>
    </sheetView>
  </sheetViews>
  <sheetFormatPr defaultRowHeight="15" x14ac:dyDescent="0.25"/>
  <cols>
    <col min="1" max="1" width="14.140625" bestFit="1" customWidth="1"/>
    <col min="2" max="2" width="32.85546875" bestFit="1" customWidth="1"/>
    <col min="3" max="3" width="7.5703125" bestFit="1" customWidth="1"/>
    <col min="4" max="4" width="6.5703125" bestFit="1" customWidth="1"/>
  </cols>
  <sheetData>
    <row r="1" spans="1:4" ht="18.75" x14ac:dyDescent="0.3">
      <c r="A1" s="4" t="s">
        <v>10</v>
      </c>
      <c r="B1" s="4" t="s">
        <v>11</v>
      </c>
      <c r="C1" s="4" t="s">
        <v>38</v>
      </c>
      <c r="D1" s="4" t="s">
        <v>39</v>
      </c>
    </row>
    <row r="2" spans="1:4" x14ac:dyDescent="0.25">
      <c r="A2" s="1" t="s">
        <v>12</v>
      </c>
      <c r="B2" s="1" t="s">
        <v>13</v>
      </c>
      <c r="C2" s="1">
        <v>21.98</v>
      </c>
      <c r="D2" s="1">
        <v>19.13</v>
      </c>
    </row>
    <row r="3" spans="1:4" x14ac:dyDescent="0.25">
      <c r="A3" s="1" t="s">
        <v>12</v>
      </c>
      <c r="B3" s="1" t="s">
        <v>14</v>
      </c>
      <c r="C3" s="1">
        <v>76.37</v>
      </c>
      <c r="D3" s="1">
        <v>23.63</v>
      </c>
    </row>
    <row r="4" spans="1:4" x14ac:dyDescent="0.25">
      <c r="A4" s="1" t="s">
        <v>15</v>
      </c>
      <c r="B4" s="1" t="s">
        <v>2</v>
      </c>
      <c r="C4" s="1">
        <v>5</v>
      </c>
      <c r="D4" s="1">
        <v>0</v>
      </c>
    </row>
    <row r="5" spans="1:4" x14ac:dyDescent="0.25">
      <c r="A5" s="1" t="s">
        <v>15</v>
      </c>
      <c r="B5" s="1" t="s">
        <v>16</v>
      </c>
      <c r="C5" s="1">
        <v>21</v>
      </c>
      <c r="D5" s="1">
        <v>1</v>
      </c>
    </row>
    <row r="6" spans="1:4" x14ac:dyDescent="0.25">
      <c r="A6" s="1" t="s">
        <v>15</v>
      </c>
      <c r="B6" s="1" t="s">
        <v>17</v>
      </c>
      <c r="C6" s="1">
        <v>13</v>
      </c>
      <c r="D6" s="1">
        <v>0</v>
      </c>
    </row>
    <row r="7" spans="1:4" x14ac:dyDescent="0.25">
      <c r="A7" s="1" t="s">
        <v>15</v>
      </c>
      <c r="B7" s="1" t="s">
        <v>6</v>
      </c>
      <c r="C7" s="1">
        <v>36</v>
      </c>
      <c r="D7" s="1">
        <v>4</v>
      </c>
    </row>
    <row r="8" spans="1:4" x14ac:dyDescent="0.25">
      <c r="A8" s="1" t="s">
        <v>15</v>
      </c>
      <c r="B8" s="1" t="s">
        <v>7</v>
      </c>
      <c r="C8" s="1">
        <v>1</v>
      </c>
      <c r="D8" s="1">
        <v>3</v>
      </c>
    </row>
    <row r="9" spans="1:4" x14ac:dyDescent="0.25">
      <c r="A9" s="1" t="s">
        <v>15</v>
      </c>
      <c r="B9" s="1" t="s">
        <v>9</v>
      </c>
      <c r="C9" s="1">
        <v>8</v>
      </c>
      <c r="D9" s="1">
        <v>0</v>
      </c>
    </row>
    <row r="10" spans="1:4" x14ac:dyDescent="0.25">
      <c r="A10" s="1" t="s">
        <v>18</v>
      </c>
      <c r="B10" s="1" t="s">
        <v>0</v>
      </c>
      <c r="C10" s="1">
        <v>30</v>
      </c>
      <c r="D10" s="1">
        <v>7</v>
      </c>
    </row>
    <row r="11" spans="1:4" x14ac:dyDescent="0.25">
      <c r="A11" s="1" t="s">
        <v>18</v>
      </c>
      <c r="B11" s="1" t="s">
        <v>8</v>
      </c>
      <c r="C11" s="1">
        <v>4</v>
      </c>
      <c r="D11" s="1">
        <v>0</v>
      </c>
    </row>
    <row r="12" spans="1:4" x14ac:dyDescent="0.25">
      <c r="A12" s="1" t="s">
        <v>18</v>
      </c>
      <c r="B12" s="1" t="s">
        <v>3</v>
      </c>
      <c r="C12" s="1">
        <v>6</v>
      </c>
      <c r="D12" s="1">
        <v>1</v>
      </c>
    </row>
    <row r="13" spans="1:4" x14ac:dyDescent="0.25">
      <c r="A13" s="1" t="s">
        <v>18</v>
      </c>
      <c r="B13" s="1" t="s">
        <v>19</v>
      </c>
      <c r="C13" s="1">
        <v>271</v>
      </c>
      <c r="D13" s="1">
        <v>88</v>
      </c>
    </row>
    <row r="14" spans="1:4" x14ac:dyDescent="0.25">
      <c r="A14" s="1" t="s">
        <v>18</v>
      </c>
      <c r="B14" s="1" t="s">
        <v>20</v>
      </c>
      <c r="C14" s="1">
        <v>90.94</v>
      </c>
      <c r="D14" s="1">
        <v>74.56</v>
      </c>
    </row>
    <row r="15" spans="1:4" x14ac:dyDescent="0.25">
      <c r="A15" s="1" t="s">
        <v>21</v>
      </c>
      <c r="B15" s="1" t="s">
        <v>1</v>
      </c>
      <c r="C15" s="1">
        <v>5</v>
      </c>
      <c r="D15" s="1">
        <v>15</v>
      </c>
    </row>
    <row r="16" spans="1:4" x14ac:dyDescent="0.25">
      <c r="A16" s="1" t="s">
        <v>21</v>
      </c>
      <c r="B16" s="1" t="s">
        <v>4</v>
      </c>
      <c r="C16" s="1">
        <v>1</v>
      </c>
      <c r="D16" s="1">
        <v>3</v>
      </c>
    </row>
    <row r="17" spans="1:4" x14ac:dyDescent="0.25">
      <c r="A17" s="1" t="s">
        <v>21</v>
      </c>
      <c r="B17" s="1" t="s">
        <v>5</v>
      </c>
      <c r="C17" s="1">
        <v>3</v>
      </c>
      <c r="D17" s="1">
        <v>0</v>
      </c>
    </row>
    <row r="18" spans="1:4" x14ac:dyDescent="0.25">
      <c r="A18" s="1" t="s">
        <v>22</v>
      </c>
      <c r="B18" s="1" t="s">
        <v>23</v>
      </c>
      <c r="C18" s="1">
        <v>298</v>
      </c>
      <c r="D18" s="1">
        <v>118</v>
      </c>
    </row>
    <row r="19" spans="1:4" x14ac:dyDescent="0.25">
      <c r="A19" s="1" t="s">
        <v>22</v>
      </c>
      <c r="B19" s="1" t="s">
        <v>24</v>
      </c>
      <c r="C19" s="1">
        <v>181</v>
      </c>
      <c r="D19" s="1">
        <v>56</v>
      </c>
    </row>
    <row r="20" spans="1:4" x14ac:dyDescent="0.25">
      <c r="A20" s="1" t="s">
        <v>22</v>
      </c>
      <c r="B20" s="1" t="s">
        <v>25</v>
      </c>
      <c r="C20" s="1">
        <v>60.74</v>
      </c>
      <c r="D20" s="1">
        <v>47.46</v>
      </c>
    </row>
    <row r="21" spans="1:4" x14ac:dyDescent="0.25">
      <c r="A21" s="1" t="s">
        <v>22</v>
      </c>
      <c r="B21" s="1" t="s">
        <v>26</v>
      </c>
      <c r="C21" s="1">
        <v>2034.19</v>
      </c>
      <c r="D21" s="1">
        <v>592.59</v>
      </c>
    </row>
    <row r="22" spans="1:4" x14ac:dyDescent="0.25">
      <c r="A22" s="1" t="s">
        <v>22</v>
      </c>
      <c r="B22" s="1" t="s">
        <v>27</v>
      </c>
      <c r="C22" s="1">
        <v>11.24</v>
      </c>
      <c r="D22" s="1">
        <v>10.58</v>
      </c>
    </row>
    <row r="23" spans="1:4" x14ac:dyDescent="0.25">
      <c r="A23" s="1" t="s">
        <v>22</v>
      </c>
      <c r="B23" s="1" t="s">
        <v>28</v>
      </c>
      <c r="C23" s="1">
        <v>20.97</v>
      </c>
      <c r="D23" s="1">
        <v>13.04</v>
      </c>
    </row>
    <row r="24" spans="1:4" x14ac:dyDescent="0.25">
      <c r="A24" s="1" t="s">
        <v>29</v>
      </c>
      <c r="B24" s="1" t="s">
        <v>30</v>
      </c>
      <c r="C24" s="3" t="s">
        <v>31</v>
      </c>
      <c r="D24" s="3" t="s">
        <v>31</v>
      </c>
    </row>
    <row r="25" spans="1:4" x14ac:dyDescent="0.25">
      <c r="A25" s="1" t="s">
        <v>29</v>
      </c>
      <c r="B25" s="1" t="s">
        <v>32</v>
      </c>
      <c r="C25" s="3" t="s">
        <v>31</v>
      </c>
      <c r="D25" s="3" t="s">
        <v>31</v>
      </c>
    </row>
    <row r="26" spans="1:4" x14ac:dyDescent="0.25">
      <c r="A26" s="1" t="s">
        <v>29</v>
      </c>
      <c r="B26" s="1" t="s">
        <v>33</v>
      </c>
      <c r="C26" s="3" t="s">
        <v>31</v>
      </c>
      <c r="D26" s="3" t="s">
        <v>31</v>
      </c>
    </row>
    <row r="27" spans="1:4" x14ac:dyDescent="0.25">
      <c r="A27" s="1" t="s">
        <v>34</v>
      </c>
      <c r="B27" s="1" t="s">
        <v>35</v>
      </c>
      <c r="C27" s="3" t="s">
        <v>31</v>
      </c>
      <c r="D27" s="3" t="s">
        <v>31</v>
      </c>
    </row>
    <row r="28" spans="1:4" x14ac:dyDescent="0.25">
      <c r="A28" s="1" t="s">
        <v>34</v>
      </c>
      <c r="B28" s="1" t="s">
        <v>36</v>
      </c>
      <c r="C28" s="3" t="s">
        <v>31</v>
      </c>
      <c r="D28" s="3" t="s">
        <v>31</v>
      </c>
    </row>
    <row r="29" spans="1:4" x14ac:dyDescent="0.25">
      <c r="A29" s="1" t="s">
        <v>34</v>
      </c>
      <c r="B29" s="1" t="s">
        <v>37</v>
      </c>
      <c r="C29" s="3" t="s">
        <v>31</v>
      </c>
      <c r="D29" s="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1095-58C3-4441-B24B-40DA108E037D}">
  <dimension ref="A1:D29"/>
  <sheetViews>
    <sheetView workbookViewId="0">
      <selection activeCell="G11" sqref="G11"/>
    </sheetView>
  </sheetViews>
  <sheetFormatPr defaultRowHeight="15" x14ac:dyDescent="0.25"/>
  <cols>
    <col min="1" max="1" width="14.140625" style="2" bestFit="1" customWidth="1"/>
    <col min="2" max="2" width="32.85546875" style="2" bestFit="1" customWidth="1"/>
    <col min="3" max="3" width="10.5703125" style="2" bestFit="1" customWidth="1"/>
    <col min="4" max="16384" width="9.140625" style="2"/>
  </cols>
  <sheetData>
    <row r="1" spans="1:4" customFormat="1" ht="18.75" x14ac:dyDescent="0.3">
      <c r="A1" s="4" t="s">
        <v>10</v>
      </c>
      <c r="B1" s="4" t="s">
        <v>11</v>
      </c>
      <c r="C1" s="4" t="s">
        <v>38</v>
      </c>
      <c r="D1" s="4" t="s">
        <v>39</v>
      </c>
    </row>
    <row r="2" spans="1:4" customFormat="1" x14ac:dyDescent="0.25">
      <c r="A2" s="1" t="s">
        <v>12</v>
      </c>
      <c r="B2" s="1" t="s">
        <v>13</v>
      </c>
      <c r="C2" s="1">
        <v>8.7799999999999994</v>
      </c>
      <c r="D2" s="1">
        <v>6.56</v>
      </c>
    </row>
    <row r="3" spans="1:4" customFormat="1" x14ac:dyDescent="0.25">
      <c r="A3" s="1" t="s">
        <v>12</v>
      </c>
      <c r="B3" s="1" t="s">
        <v>14</v>
      </c>
      <c r="C3" s="1">
        <v>76.37</v>
      </c>
      <c r="D3" s="1">
        <v>23.63</v>
      </c>
    </row>
    <row r="4" spans="1:4" customFormat="1" x14ac:dyDescent="0.25">
      <c r="A4" s="1" t="s">
        <v>15</v>
      </c>
      <c r="B4" s="1" t="s">
        <v>2</v>
      </c>
      <c r="C4" s="1">
        <v>2</v>
      </c>
      <c r="D4" s="1">
        <v>0</v>
      </c>
    </row>
    <row r="5" spans="1:4" customFormat="1" x14ac:dyDescent="0.25">
      <c r="A5" s="1" t="s">
        <v>15</v>
      </c>
      <c r="B5" s="1" t="s">
        <v>16</v>
      </c>
      <c r="C5" s="1">
        <v>9</v>
      </c>
      <c r="D5" s="1">
        <v>0</v>
      </c>
    </row>
    <row r="6" spans="1:4" customFormat="1" x14ac:dyDescent="0.25">
      <c r="A6" s="1" t="s">
        <v>15</v>
      </c>
      <c r="B6" s="1" t="s">
        <v>17</v>
      </c>
      <c r="C6" s="1">
        <v>6</v>
      </c>
      <c r="D6" s="1">
        <v>0</v>
      </c>
    </row>
    <row r="7" spans="1:4" customFormat="1" x14ac:dyDescent="0.25">
      <c r="A7" s="1" t="s">
        <v>15</v>
      </c>
      <c r="B7" s="1" t="s">
        <v>6</v>
      </c>
      <c r="C7" s="1">
        <v>25</v>
      </c>
      <c r="D7" s="1">
        <v>0</v>
      </c>
    </row>
    <row r="8" spans="1:4" customFormat="1" x14ac:dyDescent="0.25">
      <c r="A8" s="1" t="s">
        <v>15</v>
      </c>
      <c r="B8" s="1" t="s">
        <v>7</v>
      </c>
      <c r="C8" s="1">
        <v>0</v>
      </c>
      <c r="D8" s="1">
        <v>0</v>
      </c>
    </row>
    <row r="9" spans="1:4" customFormat="1" x14ac:dyDescent="0.25">
      <c r="A9" s="1" t="s">
        <v>15</v>
      </c>
      <c r="B9" s="1" t="s">
        <v>9</v>
      </c>
      <c r="C9" s="1">
        <v>3</v>
      </c>
      <c r="D9" s="1">
        <v>0</v>
      </c>
    </row>
    <row r="10" spans="1:4" customFormat="1" x14ac:dyDescent="0.25">
      <c r="A10" s="1" t="s">
        <v>18</v>
      </c>
      <c r="B10" s="1" t="s">
        <v>0</v>
      </c>
      <c r="C10" s="1">
        <v>14</v>
      </c>
      <c r="D10" s="1">
        <v>3</v>
      </c>
    </row>
    <row r="11" spans="1:4" customFormat="1" x14ac:dyDescent="0.25">
      <c r="A11" s="1" t="s">
        <v>18</v>
      </c>
      <c r="B11" s="1" t="s">
        <v>8</v>
      </c>
      <c r="C11" s="1">
        <v>6</v>
      </c>
      <c r="D11" s="1">
        <v>0</v>
      </c>
    </row>
    <row r="12" spans="1:4" customFormat="1" x14ac:dyDescent="0.25">
      <c r="A12" s="1" t="s">
        <v>18</v>
      </c>
      <c r="B12" s="1" t="s">
        <v>3</v>
      </c>
      <c r="C12" s="1">
        <v>7</v>
      </c>
      <c r="D12" s="1">
        <v>2</v>
      </c>
    </row>
    <row r="13" spans="1:4" customFormat="1" x14ac:dyDescent="0.25">
      <c r="A13" s="1" t="s">
        <v>18</v>
      </c>
      <c r="B13" s="1" t="s">
        <v>19</v>
      </c>
      <c r="C13" s="1">
        <v>141</v>
      </c>
      <c r="D13" s="1">
        <v>67</v>
      </c>
    </row>
    <row r="14" spans="1:4" customFormat="1" x14ac:dyDescent="0.25">
      <c r="A14" s="1" t="s">
        <v>18</v>
      </c>
      <c r="B14" s="1" t="s">
        <v>20</v>
      </c>
      <c r="C14" s="1">
        <v>91.56</v>
      </c>
      <c r="D14" s="1">
        <v>81.709999999999994</v>
      </c>
    </row>
    <row r="15" spans="1:4" customFormat="1" x14ac:dyDescent="0.25">
      <c r="A15" s="1" t="s">
        <v>21</v>
      </c>
      <c r="B15" s="1" t="s">
        <v>1</v>
      </c>
      <c r="C15" s="1">
        <v>2</v>
      </c>
      <c r="D15" s="1">
        <v>4</v>
      </c>
    </row>
    <row r="16" spans="1:4" customFormat="1" x14ac:dyDescent="0.25">
      <c r="A16" s="1" t="s">
        <v>21</v>
      </c>
      <c r="B16" s="1" t="s">
        <v>4</v>
      </c>
      <c r="C16" s="1">
        <v>0</v>
      </c>
      <c r="D16" s="1">
        <v>4</v>
      </c>
    </row>
    <row r="17" spans="1:4" customFormat="1" x14ac:dyDescent="0.25">
      <c r="A17" s="1" t="s">
        <v>21</v>
      </c>
      <c r="B17" s="1" t="s">
        <v>5</v>
      </c>
      <c r="C17" s="1">
        <v>2</v>
      </c>
      <c r="D17" s="1">
        <v>0</v>
      </c>
    </row>
    <row r="18" spans="1:4" customFormat="1" x14ac:dyDescent="0.25">
      <c r="A18" s="1" t="s">
        <v>22</v>
      </c>
      <c r="B18" s="1" t="s">
        <v>23</v>
      </c>
      <c r="C18" s="1">
        <v>154</v>
      </c>
      <c r="D18" s="1">
        <v>82</v>
      </c>
    </row>
    <row r="19" spans="1:4" customFormat="1" x14ac:dyDescent="0.25">
      <c r="A19" s="1" t="s">
        <v>22</v>
      </c>
      <c r="B19" s="1" t="s">
        <v>24</v>
      </c>
      <c r="C19" s="1">
        <v>98</v>
      </c>
      <c r="D19" s="1">
        <v>45</v>
      </c>
    </row>
    <row r="20" spans="1:4" customFormat="1" x14ac:dyDescent="0.25">
      <c r="A20" s="1" t="s">
        <v>22</v>
      </c>
      <c r="B20" s="1" t="s">
        <v>25</v>
      </c>
      <c r="C20" s="1">
        <v>63.63</v>
      </c>
      <c r="D20" s="1">
        <v>54.88</v>
      </c>
    </row>
    <row r="21" spans="1:4" customFormat="1" x14ac:dyDescent="0.25">
      <c r="A21" s="1" t="s">
        <v>22</v>
      </c>
      <c r="B21" s="1" t="s">
        <v>26</v>
      </c>
      <c r="C21" s="1">
        <v>977.72</v>
      </c>
      <c r="D21" s="1">
        <v>323.39999999999998</v>
      </c>
    </row>
    <row r="22" spans="1:4" customFormat="1" x14ac:dyDescent="0.25">
      <c r="A22" s="1" t="s">
        <v>22</v>
      </c>
      <c r="B22" s="1" t="s">
        <v>27</v>
      </c>
      <c r="C22" s="1">
        <v>9.98</v>
      </c>
      <c r="D22" s="1">
        <v>7.19</v>
      </c>
    </row>
    <row r="23" spans="1:4" customFormat="1" x14ac:dyDescent="0.25">
      <c r="A23" s="1" t="s">
        <v>22</v>
      </c>
      <c r="B23" s="1" t="s">
        <v>28</v>
      </c>
      <c r="C23" s="1">
        <v>17.84</v>
      </c>
      <c r="D23" s="1">
        <v>14.05</v>
      </c>
    </row>
    <row r="24" spans="1:4" customFormat="1" x14ac:dyDescent="0.25">
      <c r="A24" s="1" t="s">
        <v>29</v>
      </c>
      <c r="B24" s="1" t="s">
        <v>30</v>
      </c>
      <c r="C24" s="3" t="s">
        <v>31</v>
      </c>
      <c r="D24" s="3" t="s">
        <v>31</v>
      </c>
    </row>
    <row r="25" spans="1:4" customFormat="1" x14ac:dyDescent="0.25">
      <c r="A25" s="1" t="s">
        <v>29</v>
      </c>
      <c r="B25" s="1" t="s">
        <v>32</v>
      </c>
      <c r="C25" s="3" t="s">
        <v>31</v>
      </c>
      <c r="D25" s="3" t="s">
        <v>31</v>
      </c>
    </row>
    <row r="26" spans="1:4" customFormat="1" x14ac:dyDescent="0.25">
      <c r="A26" s="1" t="s">
        <v>29</v>
      </c>
      <c r="B26" s="1" t="s">
        <v>33</v>
      </c>
      <c r="C26" s="3" t="s">
        <v>31</v>
      </c>
      <c r="D26" s="3" t="s">
        <v>31</v>
      </c>
    </row>
    <row r="27" spans="1:4" customFormat="1" x14ac:dyDescent="0.25">
      <c r="A27" s="1" t="s">
        <v>34</v>
      </c>
      <c r="B27" s="1" t="s">
        <v>35</v>
      </c>
      <c r="C27" s="3" t="s">
        <v>31</v>
      </c>
      <c r="D27" s="3" t="s">
        <v>31</v>
      </c>
    </row>
    <row r="28" spans="1:4" customFormat="1" x14ac:dyDescent="0.25">
      <c r="A28" s="1" t="s">
        <v>34</v>
      </c>
      <c r="B28" s="1" t="s">
        <v>36</v>
      </c>
      <c r="C28" s="3" t="s">
        <v>31</v>
      </c>
      <c r="D28" s="3" t="s">
        <v>31</v>
      </c>
    </row>
    <row r="29" spans="1:4" customFormat="1" x14ac:dyDescent="0.25">
      <c r="A29" s="1" t="s">
        <v>34</v>
      </c>
      <c r="B29" s="1" t="s">
        <v>37</v>
      </c>
      <c r="C29" s="3" t="s">
        <v>31</v>
      </c>
      <c r="D29" s="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F9D6-A484-4C9D-BD9C-C168C962BDAF}">
  <dimension ref="A1:G135"/>
  <sheetViews>
    <sheetView tabSelected="1" workbookViewId="0">
      <selection activeCell="K12" sqref="K12"/>
    </sheetView>
  </sheetViews>
  <sheetFormatPr defaultRowHeight="15" x14ac:dyDescent="0.25"/>
  <cols>
    <col min="1" max="1" width="14.140625" bestFit="1" customWidth="1"/>
    <col min="2" max="2" width="32.85546875" bestFit="1" customWidth="1"/>
    <col min="3" max="3" width="10.5703125" bestFit="1" customWidth="1"/>
    <col min="5" max="5" width="10.5703125" bestFit="1" customWidth="1"/>
  </cols>
  <sheetData>
    <row r="1" spans="1:7" ht="18.75" x14ac:dyDescent="0.3">
      <c r="A1" s="4" t="s">
        <v>10</v>
      </c>
      <c r="B1" s="4" t="s">
        <v>11</v>
      </c>
      <c r="C1" s="4" t="s">
        <v>38</v>
      </c>
      <c r="D1" s="4" t="s">
        <v>39</v>
      </c>
      <c r="F1" s="4" t="s">
        <v>38</v>
      </c>
      <c r="G1" s="4" t="s">
        <v>39</v>
      </c>
    </row>
    <row r="2" spans="1:7" x14ac:dyDescent="0.25">
      <c r="A2" s="1" t="s">
        <v>12</v>
      </c>
      <c r="B2" s="1" t="s">
        <v>13</v>
      </c>
      <c r="C2" s="1">
        <v>30.76</v>
      </c>
      <c r="D2" s="1">
        <v>25.69</v>
      </c>
      <c r="E2" s="5">
        <f>SUM(C2:D2)</f>
        <v>56.45</v>
      </c>
      <c r="F2" s="5">
        <f>C2/E2</f>
        <v>0.54490699734278125</v>
      </c>
      <c r="G2" s="5">
        <f>D2/E2</f>
        <v>0.4550930026572188</v>
      </c>
    </row>
    <row r="3" spans="1:7" x14ac:dyDescent="0.25">
      <c r="A3" s="1" t="s">
        <v>12</v>
      </c>
      <c r="B3" s="1" t="s">
        <v>14</v>
      </c>
      <c r="C3" s="1">
        <v>76.37</v>
      </c>
      <c r="D3" s="1">
        <v>23.63</v>
      </c>
      <c r="E3" s="5">
        <f t="shared" ref="E3:E29" si="0">SUM(C3:D3)</f>
        <v>100</v>
      </c>
      <c r="F3" s="5">
        <f t="shared" ref="F3:F29" si="1">C3/E3</f>
        <v>0.76370000000000005</v>
      </c>
      <c r="G3" s="5">
        <f t="shared" ref="G3:G29" si="2">D3/E3</f>
        <v>0.23629999999999998</v>
      </c>
    </row>
    <row r="4" spans="1:7" x14ac:dyDescent="0.25">
      <c r="A4" s="1" t="s">
        <v>15</v>
      </c>
      <c r="B4" s="1" t="s">
        <v>2</v>
      </c>
      <c r="C4" s="1">
        <v>7</v>
      </c>
      <c r="D4" s="1">
        <v>0</v>
      </c>
      <c r="E4" s="5">
        <f t="shared" si="0"/>
        <v>7</v>
      </c>
      <c r="F4" s="5">
        <f t="shared" si="1"/>
        <v>1</v>
      </c>
      <c r="G4" s="5">
        <f t="shared" si="2"/>
        <v>0</v>
      </c>
    </row>
    <row r="5" spans="1:7" x14ac:dyDescent="0.25">
      <c r="A5" s="1" t="s">
        <v>15</v>
      </c>
      <c r="B5" s="1" t="s">
        <v>16</v>
      </c>
      <c r="C5" s="1">
        <v>30</v>
      </c>
      <c r="D5" s="1">
        <v>1</v>
      </c>
      <c r="E5" s="5">
        <f t="shared" si="0"/>
        <v>31</v>
      </c>
      <c r="F5" s="5">
        <f t="shared" si="1"/>
        <v>0.967741935483871</v>
      </c>
      <c r="G5" s="5">
        <f t="shared" si="2"/>
        <v>3.2258064516129031E-2</v>
      </c>
    </row>
    <row r="6" spans="1:7" x14ac:dyDescent="0.25">
      <c r="A6" s="1" t="s">
        <v>15</v>
      </c>
      <c r="B6" s="1" t="s">
        <v>17</v>
      </c>
      <c r="C6" s="1">
        <v>19</v>
      </c>
      <c r="D6" s="1">
        <v>0</v>
      </c>
      <c r="E6" s="5">
        <f t="shared" si="0"/>
        <v>19</v>
      </c>
      <c r="F6" s="5">
        <f t="shared" si="1"/>
        <v>1</v>
      </c>
      <c r="G6" s="5">
        <f t="shared" si="2"/>
        <v>0</v>
      </c>
    </row>
    <row r="7" spans="1:7" x14ac:dyDescent="0.25">
      <c r="A7" s="1" t="s">
        <v>15</v>
      </c>
      <c r="B7" s="1" t="s">
        <v>6</v>
      </c>
      <c r="C7" s="1">
        <v>61</v>
      </c>
      <c r="D7" s="1">
        <v>4</v>
      </c>
      <c r="E7" s="5">
        <f t="shared" si="0"/>
        <v>65</v>
      </c>
      <c r="F7" s="5">
        <f t="shared" si="1"/>
        <v>0.93846153846153846</v>
      </c>
      <c r="G7" s="5">
        <f t="shared" si="2"/>
        <v>6.1538461538461542E-2</v>
      </c>
    </row>
    <row r="8" spans="1:7" x14ac:dyDescent="0.25">
      <c r="A8" s="1" t="s">
        <v>15</v>
      </c>
      <c r="B8" s="1" t="s">
        <v>7</v>
      </c>
      <c r="C8" s="1">
        <v>1</v>
      </c>
      <c r="D8" s="1">
        <v>3</v>
      </c>
      <c r="E8" s="5">
        <f t="shared" si="0"/>
        <v>4</v>
      </c>
      <c r="F8" s="5">
        <f t="shared" si="1"/>
        <v>0.25</v>
      </c>
      <c r="G8" s="5">
        <f t="shared" si="2"/>
        <v>0.75</v>
      </c>
    </row>
    <row r="9" spans="1:7" x14ac:dyDescent="0.25">
      <c r="A9" s="1" t="s">
        <v>15</v>
      </c>
      <c r="B9" s="1" t="s">
        <v>9</v>
      </c>
      <c r="C9" s="1">
        <v>11</v>
      </c>
      <c r="D9" s="1">
        <v>0</v>
      </c>
      <c r="E9" s="5">
        <f t="shared" si="0"/>
        <v>11</v>
      </c>
      <c r="F9" s="5">
        <f t="shared" si="1"/>
        <v>1</v>
      </c>
      <c r="G9" s="5">
        <f t="shared" si="2"/>
        <v>0</v>
      </c>
    </row>
    <row r="10" spans="1:7" x14ac:dyDescent="0.25">
      <c r="A10" s="1" t="s">
        <v>18</v>
      </c>
      <c r="B10" s="1" t="s">
        <v>0</v>
      </c>
      <c r="C10" s="1">
        <v>44</v>
      </c>
      <c r="D10" s="1">
        <v>10</v>
      </c>
      <c r="E10" s="5">
        <f t="shared" si="0"/>
        <v>54</v>
      </c>
      <c r="F10" s="5">
        <f t="shared" si="1"/>
        <v>0.81481481481481477</v>
      </c>
      <c r="G10" s="5">
        <f t="shared" si="2"/>
        <v>0.18518518518518517</v>
      </c>
    </row>
    <row r="11" spans="1:7" x14ac:dyDescent="0.25">
      <c r="A11" s="1" t="s">
        <v>18</v>
      </c>
      <c r="B11" s="1" t="s">
        <v>8</v>
      </c>
      <c r="C11" s="1">
        <v>10</v>
      </c>
      <c r="D11" s="1">
        <v>0</v>
      </c>
      <c r="E11" s="5">
        <f t="shared" si="0"/>
        <v>10</v>
      </c>
      <c r="F11" s="5">
        <f t="shared" si="1"/>
        <v>1</v>
      </c>
      <c r="G11" s="5">
        <f t="shared" si="2"/>
        <v>0</v>
      </c>
    </row>
    <row r="12" spans="1:7" x14ac:dyDescent="0.25">
      <c r="A12" s="1" t="s">
        <v>18</v>
      </c>
      <c r="B12" s="1" t="s">
        <v>3</v>
      </c>
      <c r="C12" s="1">
        <v>13</v>
      </c>
      <c r="D12" s="1">
        <v>3</v>
      </c>
      <c r="E12" s="5">
        <f t="shared" si="0"/>
        <v>16</v>
      </c>
      <c r="F12" s="5">
        <f t="shared" si="1"/>
        <v>0.8125</v>
      </c>
      <c r="G12" s="5">
        <f t="shared" si="2"/>
        <v>0.1875</v>
      </c>
    </row>
    <row r="13" spans="1:7" x14ac:dyDescent="0.25">
      <c r="A13" s="1" t="s">
        <v>18</v>
      </c>
      <c r="B13" s="1" t="s">
        <v>19</v>
      </c>
      <c r="C13" s="1">
        <v>412</v>
      </c>
      <c r="D13" s="1">
        <v>155</v>
      </c>
      <c r="E13" s="5">
        <f t="shared" si="0"/>
        <v>567</v>
      </c>
      <c r="F13" s="5">
        <f t="shared" si="1"/>
        <v>0.72663139329805992</v>
      </c>
      <c r="G13" s="5">
        <f t="shared" si="2"/>
        <v>0.27336860670194002</v>
      </c>
    </row>
    <row r="14" spans="1:7" x14ac:dyDescent="0.25">
      <c r="A14" s="1" t="s">
        <v>18</v>
      </c>
      <c r="B14" s="1" t="s">
        <v>20</v>
      </c>
      <c r="C14" s="1">
        <v>91.25</v>
      </c>
      <c r="D14" s="1">
        <v>78.14</v>
      </c>
      <c r="E14" s="5">
        <f t="shared" si="0"/>
        <v>169.39</v>
      </c>
      <c r="F14" s="5">
        <f t="shared" si="1"/>
        <v>0.53869767991026629</v>
      </c>
      <c r="G14" s="5">
        <f t="shared" si="2"/>
        <v>0.46130232008973376</v>
      </c>
    </row>
    <row r="15" spans="1:7" x14ac:dyDescent="0.25">
      <c r="A15" s="1" t="s">
        <v>21</v>
      </c>
      <c r="B15" s="1" t="s">
        <v>1</v>
      </c>
      <c r="C15" s="1">
        <v>7</v>
      </c>
      <c r="D15" s="1">
        <v>19</v>
      </c>
      <c r="E15" s="5">
        <f t="shared" si="0"/>
        <v>26</v>
      </c>
      <c r="F15" s="5">
        <f t="shared" si="1"/>
        <v>0.26923076923076922</v>
      </c>
      <c r="G15" s="5">
        <f t="shared" si="2"/>
        <v>0.73076923076923073</v>
      </c>
    </row>
    <row r="16" spans="1:7" x14ac:dyDescent="0.25">
      <c r="A16" s="1" t="s">
        <v>21</v>
      </c>
      <c r="B16" s="1" t="s">
        <v>4</v>
      </c>
      <c r="C16" s="1">
        <v>1</v>
      </c>
      <c r="D16" s="1">
        <v>7</v>
      </c>
      <c r="E16" s="5">
        <f t="shared" si="0"/>
        <v>8</v>
      </c>
      <c r="F16" s="5">
        <f t="shared" si="1"/>
        <v>0.125</v>
      </c>
      <c r="G16" s="5">
        <f t="shared" si="2"/>
        <v>0.875</v>
      </c>
    </row>
    <row r="17" spans="1:7" x14ac:dyDescent="0.25">
      <c r="A17" s="1" t="s">
        <v>21</v>
      </c>
      <c r="B17" s="1" t="s">
        <v>5</v>
      </c>
      <c r="C17" s="1">
        <v>5</v>
      </c>
      <c r="D17" s="1">
        <v>0</v>
      </c>
      <c r="E17" s="5">
        <f t="shared" si="0"/>
        <v>5</v>
      </c>
      <c r="F17" s="5">
        <f t="shared" si="1"/>
        <v>1</v>
      </c>
      <c r="G17" s="5">
        <f t="shared" si="2"/>
        <v>0</v>
      </c>
    </row>
    <row r="18" spans="1:7" x14ac:dyDescent="0.25">
      <c r="A18" s="1" t="s">
        <v>22</v>
      </c>
      <c r="B18" s="1" t="s">
        <v>23</v>
      </c>
      <c r="C18" s="1">
        <v>452</v>
      </c>
      <c r="D18" s="1">
        <v>200</v>
      </c>
      <c r="E18" s="5">
        <f t="shared" si="0"/>
        <v>652</v>
      </c>
      <c r="F18" s="5">
        <f t="shared" si="1"/>
        <v>0.69325153374233128</v>
      </c>
      <c r="G18" s="5">
        <f t="shared" si="2"/>
        <v>0.30674846625766872</v>
      </c>
    </row>
    <row r="19" spans="1:7" x14ac:dyDescent="0.25">
      <c r="A19" s="1" t="s">
        <v>22</v>
      </c>
      <c r="B19" s="1" t="s">
        <v>24</v>
      </c>
      <c r="C19" s="1">
        <v>279</v>
      </c>
      <c r="D19" s="1">
        <v>101</v>
      </c>
      <c r="E19" s="5">
        <f t="shared" si="0"/>
        <v>380</v>
      </c>
      <c r="F19" s="5">
        <f t="shared" si="1"/>
        <v>0.73421052631578942</v>
      </c>
      <c r="G19" s="5">
        <f t="shared" si="2"/>
        <v>0.26578947368421052</v>
      </c>
    </row>
    <row r="20" spans="1:7" x14ac:dyDescent="0.25">
      <c r="A20" s="1" t="s">
        <v>22</v>
      </c>
      <c r="B20" s="1" t="s">
        <v>25</v>
      </c>
      <c r="C20" s="1">
        <v>61.73</v>
      </c>
      <c r="D20" s="1">
        <v>50.5</v>
      </c>
      <c r="E20" s="5">
        <f t="shared" si="0"/>
        <v>112.22999999999999</v>
      </c>
      <c r="F20" s="5">
        <f t="shared" si="1"/>
        <v>0.55003118595740896</v>
      </c>
      <c r="G20" s="5">
        <f t="shared" si="2"/>
        <v>0.44996881404259115</v>
      </c>
    </row>
    <row r="21" spans="1:7" x14ac:dyDescent="0.25">
      <c r="A21" s="1" t="s">
        <v>22</v>
      </c>
      <c r="B21" s="1" t="s">
        <v>26</v>
      </c>
      <c r="C21" s="1">
        <v>3011.91</v>
      </c>
      <c r="D21" s="1">
        <v>915.99</v>
      </c>
      <c r="E21" s="5">
        <f t="shared" si="0"/>
        <v>3927.8999999999996</v>
      </c>
      <c r="F21" s="5">
        <f t="shared" si="1"/>
        <v>0.76679905292904604</v>
      </c>
      <c r="G21" s="5">
        <f t="shared" si="2"/>
        <v>0.23320094707095396</v>
      </c>
    </row>
    <row r="22" spans="1:7" x14ac:dyDescent="0.25">
      <c r="A22" s="1" t="s">
        <v>22</v>
      </c>
      <c r="B22" s="1" t="s">
        <v>27</v>
      </c>
      <c r="C22" s="1">
        <v>10.79</v>
      </c>
      <c r="D22" s="1">
        <v>9.07</v>
      </c>
      <c r="E22" s="5">
        <f t="shared" si="0"/>
        <v>19.86</v>
      </c>
      <c r="F22" s="5">
        <f t="shared" si="1"/>
        <v>0.54330312185297081</v>
      </c>
      <c r="G22" s="5">
        <f t="shared" si="2"/>
        <v>0.45669687814702925</v>
      </c>
    </row>
    <row r="23" spans="1:7" x14ac:dyDescent="0.25">
      <c r="A23" s="1" t="s">
        <v>22</v>
      </c>
      <c r="B23" s="1" t="s">
        <v>28</v>
      </c>
      <c r="C23" s="1">
        <v>19.41</v>
      </c>
      <c r="D23" s="1">
        <v>13.55</v>
      </c>
      <c r="E23" s="5">
        <f t="shared" si="0"/>
        <v>32.96</v>
      </c>
      <c r="F23" s="5">
        <f t="shared" si="1"/>
        <v>0.58889563106796117</v>
      </c>
      <c r="G23" s="5">
        <f t="shared" si="2"/>
        <v>0.41110436893203883</v>
      </c>
    </row>
    <row r="24" spans="1:7" x14ac:dyDescent="0.25">
      <c r="A24" s="1" t="s">
        <v>29</v>
      </c>
      <c r="B24" s="1" t="s">
        <v>30</v>
      </c>
      <c r="C24" s="3" t="s">
        <v>31</v>
      </c>
      <c r="D24" s="3" t="s">
        <v>31</v>
      </c>
      <c r="E24" s="5">
        <f t="shared" si="0"/>
        <v>0</v>
      </c>
      <c r="F24" s="5" t="e">
        <f t="shared" si="1"/>
        <v>#VALUE!</v>
      </c>
      <c r="G24" s="5" t="e">
        <f t="shared" si="2"/>
        <v>#VALUE!</v>
      </c>
    </row>
    <row r="25" spans="1:7" x14ac:dyDescent="0.25">
      <c r="A25" s="1" t="s">
        <v>29</v>
      </c>
      <c r="B25" s="1" t="s">
        <v>32</v>
      </c>
      <c r="C25" s="3" t="s">
        <v>31</v>
      </c>
      <c r="D25" s="3" t="s">
        <v>31</v>
      </c>
      <c r="E25" s="5">
        <f t="shared" si="0"/>
        <v>0</v>
      </c>
      <c r="F25" s="5" t="e">
        <f t="shared" si="1"/>
        <v>#VALUE!</v>
      </c>
      <c r="G25" s="5" t="e">
        <f t="shared" si="2"/>
        <v>#VALUE!</v>
      </c>
    </row>
    <row r="26" spans="1:7" x14ac:dyDescent="0.25">
      <c r="A26" s="1" t="s">
        <v>29</v>
      </c>
      <c r="B26" s="1" t="s">
        <v>33</v>
      </c>
      <c r="C26" s="3" t="s">
        <v>31</v>
      </c>
      <c r="D26" s="3" t="s">
        <v>31</v>
      </c>
      <c r="E26" s="5">
        <f t="shared" si="0"/>
        <v>0</v>
      </c>
      <c r="F26" s="5" t="e">
        <f t="shared" si="1"/>
        <v>#VALUE!</v>
      </c>
      <c r="G26" s="5" t="e">
        <f t="shared" si="2"/>
        <v>#VALUE!</v>
      </c>
    </row>
    <row r="27" spans="1:7" x14ac:dyDescent="0.25">
      <c r="A27" s="1" t="s">
        <v>34</v>
      </c>
      <c r="B27" s="1" t="s">
        <v>35</v>
      </c>
      <c r="C27" s="3" t="s">
        <v>31</v>
      </c>
      <c r="D27" s="3" t="s">
        <v>31</v>
      </c>
      <c r="E27" s="5">
        <f t="shared" si="0"/>
        <v>0</v>
      </c>
      <c r="F27" s="5" t="e">
        <f t="shared" si="1"/>
        <v>#VALUE!</v>
      </c>
      <c r="G27" s="5" t="e">
        <f t="shared" si="2"/>
        <v>#VALUE!</v>
      </c>
    </row>
    <row r="28" spans="1:7" x14ac:dyDescent="0.25">
      <c r="A28" s="1" t="s">
        <v>34</v>
      </c>
      <c r="B28" s="1" t="s">
        <v>36</v>
      </c>
      <c r="C28" s="3" t="s">
        <v>31</v>
      </c>
      <c r="D28" s="3" t="s">
        <v>31</v>
      </c>
      <c r="E28" s="5">
        <f t="shared" si="0"/>
        <v>0</v>
      </c>
      <c r="F28" s="5" t="e">
        <f t="shared" si="1"/>
        <v>#VALUE!</v>
      </c>
      <c r="G28" s="5" t="e">
        <f t="shared" si="2"/>
        <v>#VALUE!</v>
      </c>
    </row>
    <row r="29" spans="1:7" x14ac:dyDescent="0.25">
      <c r="A29" s="1" t="s">
        <v>34</v>
      </c>
      <c r="B29" s="1" t="s">
        <v>37</v>
      </c>
      <c r="C29" s="3" t="s">
        <v>31</v>
      </c>
      <c r="D29" s="3" t="s">
        <v>31</v>
      </c>
      <c r="E29" s="5">
        <f t="shared" si="0"/>
        <v>0</v>
      </c>
      <c r="F29" s="5" t="e">
        <f t="shared" si="1"/>
        <v>#VALUE!</v>
      </c>
      <c r="G29" s="5" t="e">
        <f t="shared" si="2"/>
        <v>#VALUE!</v>
      </c>
    </row>
    <row r="30" spans="1:7" s="2" customFormat="1" x14ac:dyDescent="0.25"/>
    <row r="31" spans="1:7" s="2" customFormat="1" x14ac:dyDescent="0.25"/>
    <row r="32" spans="1:7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Half</vt:lpstr>
      <vt:lpstr>2nd Half</vt:lpstr>
      <vt:lpstr>Full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Wood</dc:creator>
  <cp:lastModifiedBy>Liam Wood</cp:lastModifiedBy>
  <dcterms:created xsi:type="dcterms:W3CDTF">2025-08-27T20:55:08Z</dcterms:created>
  <dcterms:modified xsi:type="dcterms:W3CDTF">2025-08-28T17:09:40Z</dcterms:modified>
</cp:coreProperties>
</file>